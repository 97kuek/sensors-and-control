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ashita\Documents\sensors-and-control\docs\"/>
    </mc:Choice>
  </mc:AlternateContent>
  <xr:revisionPtr revIDLastSave="0" documentId="13_ncr:1_{7272ADF7-F6F9-4E46-9221-195CFD875705}" xr6:coauthVersionLast="47" xr6:coauthVersionMax="47" xr10:uidLastSave="{00000000-0000-0000-0000-000000000000}"/>
  <bookViews>
    <workbookView xWindow="-90" yWindow="0" windowWidth="11460" windowHeight="14410" xr2:uid="{D7E328D4-FD25-4938-8122-60FB433CDBB7}"/>
  </bookViews>
  <sheets>
    <sheet name="1st" sheetId="1" r:id="rId1"/>
    <sheet name="3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9" i="1"/>
  <c r="D20" i="1"/>
  <c r="D21" i="1"/>
  <c r="D17" i="1"/>
  <c r="D4" i="1"/>
  <c r="D5" i="1"/>
  <c r="D6" i="1"/>
  <c r="D7" i="1"/>
  <c r="D8" i="1"/>
  <c r="D9" i="1"/>
  <c r="D10" i="1"/>
  <c r="D11" i="1"/>
  <c r="D12" i="1"/>
  <c r="D13" i="1"/>
</calcChain>
</file>

<file path=xl/sharedStrings.xml><?xml version="1.0" encoding="utf-8"?>
<sst xmlns="http://schemas.openxmlformats.org/spreadsheetml/2006/main" count="66" uniqueCount="49">
  <si>
    <t>公称値</t>
    <rPh sb="0" eb="3">
      <t>コウショウチ</t>
    </rPh>
    <phoneticPr fontId="2"/>
  </si>
  <si>
    <t>測定値</t>
    <rPh sb="0" eb="3">
      <t>ソクテイチ</t>
    </rPh>
    <phoneticPr fontId="2"/>
  </si>
  <si>
    <t>誤差</t>
    <rPh sb="0" eb="2">
      <t>ゴサ</t>
    </rPh>
    <phoneticPr fontId="2"/>
  </si>
  <si>
    <t>照度環境</t>
    <rPh sb="0" eb="4">
      <t>ショウドカンキョウ</t>
    </rPh>
    <phoneticPr fontId="2"/>
  </si>
  <si>
    <t>日中の窓際</t>
    <rPh sb="0" eb="2">
      <t>ニッチュウ</t>
    </rPh>
    <rPh sb="3" eb="5">
      <t>マドギワ</t>
    </rPh>
    <phoneticPr fontId="2"/>
  </si>
  <si>
    <t>夜間室内</t>
    <rPh sb="0" eb="4">
      <t>ヤカンシツナイ</t>
    </rPh>
    <phoneticPr fontId="2"/>
  </si>
  <si>
    <t>暗黒</t>
    <rPh sb="0" eb="2">
      <t>アンコク</t>
    </rPh>
    <phoneticPr fontId="2"/>
  </si>
  <si>
    <t>距離</t>
    <rPh sb="0" eb="2">
      <t>キョリ</t>
    </rPh>
    <phoneticPr fontId="2"/>
  </si>
  <si>
    <t>抵抗値</t>
    <rPh sb="0" eb="3">
      <t>テイコウチ</t>
    </rPh>
    <phoneticPr fontId="2"/>
  </si>
  <si>
    <t>色</t>
    <rPh sb="0" eb="1">
      <t>イロ</t>
    </rPh>
    <phoneticPr fontId="2"/>
  </si>
  <si>
    <t>順方向電圧</t>
    <rPh sb="0" eb="5">
      <t>ジュンホウコウデンアツ</t>
    </rPh>
    <phoneticPr fontId="2"/>
  </si>
  <si>
    <t>順方向電流</t>
    <rPh sb="0" eb="5">
      <t>ジュンホウコウデンリュウ</t>
    </rPh>
    <phoneticPr fontId="2"/>
  </si>
  <si>
    <t>赤</t>
    <rPh sb="0" eb="1">
      <t>アカ</t>
    </rPh>
    <phoneticPr fontId="2"/>
  </si>
  <si>
    <t>黄</t>
    <rPh sb="0" eb="1">
      <t>キ</t>
    </rPh>
    <phoneticPr fontId="2"/>
  </si>
  <si>
    <t>緑</t>
    <rPh sb="0" eb="1">
      <t>ミドリ</t>
    </rPh>
    <phoneticPr fontId="2"/>
  </si>
  <si>
    <t>青</t>
    <rPh sb="0" eb="1">
      <t>アオ</t>
    </rPh>
    <phoneticPr fontId="2"/>
  </si>
  <si>
    <t>白</t>
    <rPh sb="0" eb="1">
      <t>シロ</t>
    </rPh>
    <phoneticPr fontId="2"/>
  </si>
  <si>
    <t>表1 固定抵抗の測定結果</t>
    <rPh sb="0" eb="1">
      <t>ヒョウ</t>
    </rPh>
    <rPh sb="3" eb="5">
      <t>コテイ</t>
    </rPh>
    <rPh sb="5" eb="7">
      <t>テイコウ</t>
    </rPh>
    <rPh sb="8" eb="12">
      <t>ソクテイケッカ</t>
    </rPh>
    <phoneticPr fontId="2"/>
  </si>
  <si>
    <t>表4 各LEDの順方向電圧および順方向電流</t>
    <rPh sb="0" eb="1">
      <t>ヒョウ</t>
    </rPh>
    <rPh sb="3" eb="4">
      <t>カク</t>
    </rPh>
    <rPh sb="8" eb="11">
      <t>ジュンホウコウ</t>
    </rPh>
    <rPh sb="11" eb="13">
      <t>デンアツ</t>
    </rPh>
    <rPh sb="16" eb="21">
      <t>ジュンホウコウデンリュウ</t>
    </rPh>
    <phoneticPr fontId="2"/>
  </si>
  <si>
    <t>表2 フォトレジスタの抵抗</t>
    <rPh sb="0" eb="1">
      <t>ヒョウ</t>
    </rPh>
    <rPh sb="11" eb="13">
      <t>テイコウ</t>
    </rPh>
    <phoneticPr fontId="2"/>
  </si>
  <si>
    <t>表3 シャープペンシル線における距離と抵抗値の測定結果（HB）</t>
    <rPh sb="0" eb="1">
      <t>ヒョウ</t>
    </rPh>
    <rPh sb="11" eb="12">
      <t>セン</t>
    </rPh>
    <rPh sb="16" eb="18">
      <t>キョリ</t>
    </rPh>
    <rPh sb="19" eb="22">
      <t>テイコウチ</t>
    </rPh>
    <rPh sb="23" eb="27">
      <t>ソクテイケッカ</t>
    </rPh>
    <phoneticPr fontId="2"/>
  </si>
  <si>
    <t>実際の距離</t>
    <rPh sb="0" eb="2">
      <t>ジッサイ</t>
    </rPh>
    <rPh sb="3" eb="5">
      <t>キョリ</t>
    </rPh>
    <phoneticPr fontId="2"/>
  </si>
  <si>
    <t>表5 超音波距離センサの測定結果</t>
    <rPh sb="0" eb="1">
      <t>ヒョウ</t>
    </rPh>
    <rPh sb="3" eb="6">
      <t>チョウオンパ</t>
    </rPh>
    <rPh sb="6" eb="8">
      <t>キョリ</t>
    </rPh>
    <rPh sb="12" eb="16">
      <t>ソクテイケッカ</t>
    </rPh>
    <phoneticPr fontId="2"/>
  </si>
  <si>
    <t>表</t>
    <rPh sb="0" eb="1">
      <t>ヒョウ</t>
    </rPh>
    <phoneticPr fontId="2"/>
  </si>
  <si>
    <t>部品</t>
    <rPh sb="0" eb="2">
      <t>ブヒン</t>
    </rPh>
    <phoneticPr fontId="2"/>
  </si>
  <si>
    <t>型番・仕様</t>
    <rPh sb="0" eb="2">
      <t>カタバン</t>
    </rPh>
    <rPh sb="3" eb="5">
      <t>シヨウ</t>
    </rPh>
    <phoneticPr fontId="2"/>
  </si>
  <si>
    <t>個数</t>
    <rPh sb="0" eb="2">
      <t>コスウ</t>
    </rPh>
    <phoneticPr fontId="2"/>
  </si>
  <si>
    <t>状態</t>
    <rPh sb="0" eb="2">
      <t>ジョウタイ</t>
    </rPh>
    <phoneticPr fontId="2"/>
  </si>
  <si>
    <t>購入先</t>
    <rPh sb="0" eb="3">
      <t>コウニュウサキ</t>
    </rPh>
    <phoneticPr fontId="2"/>
  </si>
  <si>
    <t>アナログマイクモジュール</t>
    <phoneticPr fontId="2"/>
  </si>
  <si>
    <t>サーボモータ</t>
    <phoneticPr fontId="2"/>
  </si>
  <si>
    <t>超音波距離センサ</t>
    <rPh sb="0" eb="5">
      <t>チョウオンパキョリ</t>
    </rPh>
    <phoneticPr fontId="2"/>
  </si>
  <si>
    <t>赤外線センサ</t>
    <rPh sb="0" eb="3">
      <t>セキガイセン</t>
    </rPh>
    <phoneticPr fontId="2"/>
  </si>
  <si>
    <t>DCモーター</t>
    <phoneticPr fontId="2"/>
  </si>
  <si>
    <t>DRV8835モータードライバー</t>
    <phoneticPr fontId="2"/>
  </si>
  <si>
    <t>駆動輪（タイヤ付ホイール）</t>
    <rPh sb="0" eb="3">
      <t>クドウリン</t>
    </rPh>
    <rPh sb="7" eb="8">
      <t>ツ</t>
    </rPh>
    <phoneticPr fontId="2"/>
  </si>
  <si>
    <t>自在キャスター</t>
    <rPh sb="0" eb="2">
      <t>ジザイ</t>
    </rPh>
    <phoneticPr fontId="2"/>
  </si>
  <si>
    <t>ごみ箱本体</t>
    <rPh sb="2" eb="3">
      <t>バコ</t>
    </rPh>
    <rPh sb="3" eb="5">
      <t>ホンタイ</t>
    </rPh>
    <phoneticPr fontId="2"/>
  </si>
  <si>
    <t>電池ボックス（モーター用）</t>
    <rPh sb="0" eb="2">
      <t>デンチ</t>
    </rPh>
    <rPh sb="11" eb="12">
      <t>ヨウ</t>
    </rPh>
    <phoneticPr fontId="2"/>
  </si>
  <si>
    <t>Arduino用電源</t>
    <rPh sb="7" eb="8">
      <t>ヨウ</t>
    </rPh>
    <rPh sb="8" eb="10">
      <t>デンゲン</t>
    </rPh>
    <phoneticPr fontId="2"/>
  </si>
  <si>
    <t>モバイルバッテリー</t>
    <phoneticPr fontId="2"/>
  </si>
  <si>
    <t>単3×6本（9V）</t>
    <rPh sb="0" eb="1">
      <t>タン</t>
    </rPh>
    <rPh sb="4" eb="5">
      <t>ホン</t>
    </rPh>
    <phoneticPr fontId="2"/>
  </si>
  <si>
    <t>軽量，小型</t>
    <rPh sb="0" eb="2">
      <t>ケイリョウ</t>
    </rPh>
    <rPh sb="3" eb="5">
      <t>コガタ</t>
    </rPh>
    <phoneticPr fontId="2"/>
  </si>
  <si>
    <t>HC-SR04</t>
    <phoneticPr fontId="2"/>
  </si>
  <si>
    <t>手持ち</t>
    <rPh sb="0" eb="2">
      <t>テモ</t>
    </rPh>
    <phoneticPr fontId="2"/>
  </si>
  <si>
    <t>追加購入</t>
    <rPh sb="0" eb="4">
      <t>ツイカコウニュウ</t>
    </rPh>
    <phoneticPr fontId="2"/>
  </si>
  <si>
    <t>AE-DRV8835</t>
    <phoneticPr fontId="2"/>
  </si>
  <si>
    <t>https://www.amazon.co.jp/dp/B084VNV24C</t>
    <phoneticPr fontId="2"/>
  </si>
  <si>
    <t>-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</si>
</sst>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177" fontId="0" fillId="0" borderId="2" xfId="1" applyNumberFormat="1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0" xfId="2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</cellXfs>
  <cellStyles count="3">
    <cellStyle name="パーセント" xfId="1" builtinId="5"/>
    <cellStyle name="ハイパーリンク" xfId="2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'1st'!$G$9</c:f>
              <c:strCache>
                <c:ptCount val="1"/>
                <c:pt idx="0">
                  <c:v>抵抗値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409208223972002"/>
                  <c:y val="4.62962962962962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'1st'!$F$10:$F$19</c:f>
              <c:numCache>
                <c:formatCode>0.0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'1st'!$G$10:$G$19</c:f>
              <c:numCache>
                <c:formatCode>General</c:formatCode>
                <c:ptCount val="10"/>
                <c:pt idx="0">
                  <c:v>58.2</c:v>
                </c:pt>
                <c:pt idx="1">
                  <c:v>107.2</c:v>
                </c:pt>
                <c:pt idx="2">
                  <c:v>144.30000000000001</c:v>
                </c:pt>
                <c:pt idx="3">
                  <c:v>189</c:v>
                </c:pt>
                <c:pt idx="4">
                  <c:v>253</c:v>
                </c:pt>
                <c:pt idx="5">
                  <c:v>305</c:v>
                </c:pt>
                <c:pt idx="6">
                  <c:v>373</c:v>
                </c:pt>
                <c:pt idx="7">
                  <c:v>446</c:v>
                </c:pt>
                <c:pt idx="8">
                  <c:v>511</c:v>
                </c:pt>
                <c:pt idx="9">
                  <c:v>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42-40C0-933E-E7C7F2067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352768"/>
        <c:axId val="256349408"/>
      </c:scatterChart>
      <c:valAx>
        <c:axId val="256352768"/>
        <c:scaling>
          <c:orientation val="minMax"/>
          <c:max val="1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距離 </a:t>
                </a:r>
                <a:r>
                  <a:rPr lang="en-US" altLang="ja-JP"/>
                  <a:t>[mm]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6349408"/>
        <c:crosses val="autoZero"/>
        <c:crossBetween val="midCat"/>
      </c:valAx>
      <c:valAx>
        <c:axId val="25634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抵抗値 </a:t>
                </a:r>
                <a:r>
                  <a:rPr lang="en-US" altLang="ja-JP"/>
                  <a:t>[kΩ]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635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'1st'!$G$22</c:f>
              <c:strCache>
                <c:ptCount val="1"/>
                <c:pt idx="0">
                  <c:v>測定値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860411198600176"/>
                  <c:y val="-1.559492563429571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'1st'!$F$23:$F$32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'1st'!$G$23:$G$32</c:f>
              <c:numCache>
                <c:formatCode>General</c:formatCode>
                <c:ptCount val="10"/>
                <c:pt idx="0">
                  <c:v>10</c:v>
                </c:pt>
                <c:pt idx="1">
                  <c:v>19</c:v>
                </c:pt>
                <c:pt idx="2">
                  <c:v>29</c:v>
                </c:pt>
                <c:pt idx="3">
                  <c:v>37</c:v>
                </c:pt>
                <c:pt idx="4">
                  <c:v>47</c:v>
                </c:pt>
                <c:pt idx="5">
                  <c:v>56</c:v>
                </c:pt>
                <c:pt idx="6">
                  <c:v>67</c:v>
                </c:pt>
                <c:pt idx="7">
                  <c:v>77</c:v>
                </c:pt>
                <c:pt idx="8">
                  <c:v>86</c:v>
                </c:pt>
                <c:pt idx="9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B7-40DF-AC32-E725A7D8E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562880"/>
        <c:axId val="1183563360"/>
      </c:scatterChart>
      <c:valAx>
        <c:axId val="1183562880"/>
        <c:scaling>
          <c:orientation val="minMax"/>
          <c:max val="1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実際の距離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3563360"/>
        <c:crosses val="autoZero"/>
        <c:crossBetween val="midCat"/>
      </c:valAx>
      <c:valAx>
        <c:axId val="118356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測定値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356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22225</xdr:colOff>
      <xdr:row>6</xdr:row>
      <xdr:rowOff>82550</xdr:rowOff>
    </xdr:from>
    <xdr:to>
      <xdr:col>14</xdr:col>
      <xdr:colOff>631825</xdr:colOff>
      <xdr:row>18</xdr:row>
      <xdr:rowOff>82550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1513F23-7A5C-4690-8ACA-66E46BB21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98425</xdr:colOff>
      <xdr:row>22</xdr:row>
      <xdr:rowOff>69850</xdr:rowOff>
    </xdr:from>
    <xdr:to>
      <xdr:col>14</xdr:col>
      <xdr:colOff>47625</xdr:colOff>
      <xdr:row>34</xdr:row>
      <xdr:rowOff>69850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0DEB0F9-23D2-1F24-BF16-32FAC3BF5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.jp/dp/B084VNV24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7EFB-A6F4-4630-9E61-6FD08FA6A003}">
  <dimension ref="B2:G32"/>
  <sheetViews>
    <sheetView tabSelected="1" topLeftCell="C1" workbookViewId="0">
      <selection activeCell="G13" sqref="G13"/>
    </sheetView>
  </sheetViews>
  <sheetFormatPr defaultRowHeight="18" x14ac:dyDescent="0.55000000000000004"/>
  <cols>
    <col min="1" max="2" width="8.6640625" style="2"/>
    <col min="3" max="3" width="13" style="2" customWidth="1"/>
    <col min="4" max="4" width="14.6640625" style="2" customWidth="1"/>
    <col min="5" max="5" width="8.6640625" style="2"/>
    <col min="6" max="6" width="13.6640625" style="2" customWidth="1"/>
    <col min="7" max="7" width="13.75" style="2" customWidth="1"/>
    <col min="8" max="16384" width="8.6640625" style="2"/>
  </cols>
  <sheetData>
    <row r="2" spans="2:7" x14ac:dyDescent="0.55000000000000004">
      <c r="B2" s="13" t="s">
        <v>17</v>
      </c>
      <c r="C2" s="13"/>
      <c r="D2" s="13"/>
      <c r="F2" s="13" t="s">
        <v>19</v>
      </c>
      <c r="G2" s="13"/>
    </row>
    <row r="3" spans="2:7" x14ac:dyDescent="0.55000000000000004">
      <c r="B3" s="1" t="s">
        <v>0</v>
      </c>
      <c r="C3" s="1" t="s">
        <v>1</v>
      </c>
      <c r="D3" s="1" t="s">
        <v>2</v>
      </c>
      <c r="F3" s="2" t="s">
        <v>3</v>
      </c>
      <c r="G3" s="2" t="s">
        <v>1</v>
      </c>
    </row>
    <row r="4" spans="2:7" x14ac:dyDescent="0.55000000000000004">
      <c r="B4" s="2">
        <v>10</v>
      </c>
      <c r="C4" s="2">
        <v>10.4</v>
      </c>
      <c r="D4" s="5">
        <f>(C4-B4)/B4</f>
        <v>4.0000000000000036E-2</v>
      </c>
      <c r="F4" s="2" t="s">
        <v>4</v>
      </c>
      <c r="G4" s="2">
        <v>114</v>
      </c>
    </row>
    <row r="5" spans="2:7" x14ac:dyDescent="0.55000000000000004">
      <c r="B5" s="2">
        <v>100</v>
      </c>
      <c r="C5" s="2">
        <v>99.7</v>
      </c>
      <c r="D5" s="5">
        <f t="shared" ref="D5:D13" si="0">(C5-B5)/B5</f>
        <v>-2.9999999999999714E-3</v>
      </c>
      <c r="F5" s="2" t="s">
        <v>5</v>
      </c>
      <c r="G5" s="2">
        <v>70551</v>
      </c>
    </row>
    <row r="6" spans="2:7" x14ac:dyDescent="0.55000000000000004">
      <c r="B6" s="2">
        <v>220</v>
      </c>
      <c r="C6" s="2">
        <v>220</v>
      </c>
      <c r="D6" s="5">
        <f t="shared" si="0"/>
        <v>0</v>
      </c>
      <c r="F6" s="4" t="s">
        <v>6</v>
      </c>
      <c r="G6" s="4">
        <v>320000</v>
      </c>
    </row>
    <row r="7" spans="2:7" x14ac:dyDescent="0.55000000000000004">
      <c r="B7" s="2">
        <v>330</v>
      </c>
      <c r="C7" s="2">
        <v>325</v>
      </c>
      <c r="D7" s="5">
        <f t="shared" si="0"/>
        <v>-1.5151515151515152E-2</v>
      </c>
    </row>
    <row r="8" spans="2:7" x14ac:dyDescent="0.55000000000000004">
      <c r="B8" s="2">
        <v>1000</v>
      </c>
      <c r="C8" s="2">
        <v>972</v>
      </c>
      <c r="D8" s="5">
        <f t="shared" si="0"/>
        <v>-2.8000000000000001E-2</v>
      </c>
      <c r="F8" s="13" t="s">
        <v>20</v>
      </c>
      <c r="G8" s="13"/>
    </row>
    <row r="9" spans="2:7" x14ac:dyDescent="0.55000000000000004">
      <c r="B9" s="2">
        <v>2000</v>
      </c>
      <c r="C9" s="2">
        <v>1960</v>
      </c>
      <c r="D9" s="5">
        <f t="shared" si="0"/>
        <v>-0.02</v>
      </c>
      <c r="F9" s="1" t="s">
        <v>7</v>
      </c>
      <c r="G9" s="1" t="s">
        <v>8</v>
      </c>
    </row>
    <row r="10" spans="2:7" x14ac:dyDescent="0.55000000000000004">
      <c r="B10" s="2">
        <v>5100</v>
      </c>
      <c r="C10" s="2">
        <v>5120</v>
      </c>
      <c r="D10" s="5">
        <f t="shared" si="0"/>
        <v>3.9215686274509803E-3</v>
      </c>
      <c r="F10" s="3">
        <v>10</v>
      </c>
      <c r="G10" s="2">
        <v>58.2</v>
      </c>
    </row>
    <row r="11" spans="2:7" x14ac:dyDescent="0.55000000000000004">
      <c r="B11" s="2">
        <v>10000</v>
      </c>
      <c r="C11" s="2">
        <v>10050</v>
      </c>
      <c r="D11" s="5">
        <f t="shared" si="0"/>
        <v>5.0000000000000001E-3</v>
      </c>
      <c r="F11" s="3">
        <v>20</v>
      </c>
      <c r="G11" s="2">
        <v>107.2</v>
      </c>
    </row>
    <row r="12" spans="2:7" x14ac:dyDescent="0.55000000000000004">
      <c r="B12" s="2">
        <v>100000</v>
      </c>
      <c r="C12" s="2">
        <v>100500</v>
      </c>
      <c r="D12" s="5">
        <f t="shared" si="0"/>
        <v>5.0000000000000001E-3</v>
      </c>
      <c r="F12" s="3">
        <v>30</v>
      </c>
      <c r="G12" s="2">
        <v>144.30000000000001</v>
      </c>
    </row>
    <row r="13" spans="2:7" x14ac:dyDescent="0.55000000000000004">
      <c r="B13" s="4">
        <v>1000000</v>
      </c>
      <c r="C13" s="4">
        <v>996000</v>
      </c>
      <c r="D13" s="6">
        <f t="shared" si="0"/>
        <v>-4.0000000000000001E-3</v>
      </c>
      <c r="F13" s="3">
        <v>40</v>
      </c>
      <c r="G13" s="2">
        <v>189</v>
      </c>
    </row>
    <row r="14" spans="2:7" x14ac:dyDescent="0.55000000000000004">
      <c r="F14" s="3">
        <v>50</v>
      </c>
      <c r="G14" s="2">
        <v>253</v>
      </c>
    </row>
    <row r="15" spans="2:7" x14ac:dyDescent="0.55000000000000004">
      <c r="B15" s="13" t="s">
        <v>18</v>
      </c>
      <c r="C15" s="13"/>
      <c r="D15" s="13"/>
      <c r="F15" s="3">
        <v>60</v>
      </c>
      <c r="G15" s="2">
        <v>305</v>
      </c>
    </row>
    <row r="16" spans="2:7" x14ac:dyDescent="0.55000000000000004">
      <c r="B16" s="4" t="s">
        <v>9</v>
      </c>
      <c r="C16" s="4" t="s">
        <v>10</v>
      </c>
      <c r="D16" s="4" t="s">
        <v>11</v>
      </c>
      <c r="F16" s="3">
        <v>70</v>
      </c>
      <c r="G16" s="2">
        <v>373</v>
      </c>
    </row>
    <row r="17" spans="2:7" x14ac:dyDescent="0.55000000000000004">
      <c r="B17" s="2" t="s">
        <v>12</v>
      </c>
      <c r="C17" s="2">
        <v>1.98</v>
      </c>
      <c r="D17" s="3">
        <f>((5-C17)/220)*1000</f>
        <v>13.727272727272727</v>
      </c>
      <c r="F17" s="3">
        <v>80</v>
      </c>
      <c r="G17" s="2">
        <v>446</v>
      </c>
    </row>
    <row r="18" spans="2:7" x14ac:dyDescent="0.55000000000000004">
      <c r="B18" s="2" t="s">
        <v>13</v>
      </c>
      <c r="C18" s="2">
        <v>2.0499999999999998</v>
      </c>
      <c r="D18" s="3">
        <f t="shared" ref="D18:D21" si="1">((5-C18)/220)*1000</f>
        <v>13.40909090909091</v>
      </c>
      <c r="F18" s="3">
        <v>90</v>
      </c>
      <c r="G18" s="2">
        <v>511</v>
      </c>
    </row>
    <row r="19" spans="2:7" x14ac:dyDescent="0.55000000000000004">
      <c r="B19" s="2" t="s">
        <v>14</v>
      </c>
      <c r="C19" s="2">
        <v>2.74</v>
      </c>
      <c r="D19" s="3">
        <f t="shared" si="1"/>
        <v>10.272727272727272</v>
      </c>
      <c r="F19" s="7">
        <v>100</v>
      </c>
      <c r="G19" s="4">
        <v>561</v>
      </c>
    </row>
    <row r="20" spans="2:7" x14ac:dyDescent="0.55000000000000004">
      <c r="B20" s="2" t="s">
        <v>15</v>
      </c>
      <c r="C20" s="2">
        <v>2.74</v>
      </c>
      <c r="D20" s="3">
        <f t="shared" si="1"/>
        <v>10.272727272727272</v>
      </c>
    </row>
    <row r="21" spans="2:7" x14ac:dyDescent="0.55000000000000004">
      <c r="B21" s="4" t="s">
        <v>16</v>
      </c>
      <c r="C21" s="4">
        <v>2.78</v>
      </c>
      <c r="D21" s="7">
        <f t="shared" si="1"/>
        <v>10.090909090909092</v>
      </c>
      <c r="F21" s="13" t="s">
        <v>22</v>
      </c>
      <c r="G21" s="13"/>
    </row>
    <row r="22" spans="2:7" x14ac:dyDescent="0.55000000000000004">
      <c r="F22" s="1" t="s">
        <v>21</v>
      </c>
      <c r="G22" s="1" t="s">
        <v>1</v>
      </c>
    </row>
    <row r="23" spans="2:7" x14ac:dyDescent="0.55000000000000004">
      <c r="F23" s="2">
        <v>10</v>
      </c>
      <c r="G23" s="2">
        <v>10</v>
      </c>
    </row>
    <row r="24" spans="2:7" x14ac:dyDescent="0.55000000000000004">
      <c r="F24" s="2">
        <v>20</v>
      </c>
      <c r="G24" s="2">
        <v>19</v>
      </c>
    </row>
    <row r="25" spans="2:7" x14ac:dyDescent="0.55000000000000004">
      <c r="F25" s="2">
        <v>30</v>
      </c>
      <c r="G25" s="2">
        <v>29</v>
      </c>
    </row>
    <row r="26" spans="2:7" x14ac:dyDescent="0.55000000000000004">
      <c r="F26" s="2">
        <v>40</v>
      </c>
      <c r="G26" s="2">
        <v>37</v>
      </c>
    </row>
    <row r="27" spans="2:7" x14ac:dyDescent="0.55000000000000004">
      <c r="F27" s="2">
        <v>50</v>
      </c>
      <c r="G27" s="2">
        <v>47</v>
      </c>
    </row>
    <row r="28" spans="2:7" x14ac:dyDescent="0.55000000000000004">
      <c r="F28" s="2">
        <v>60</v>
      </c>
      <c r="G28" s="2">
        <v>56</v>
      </c>
    </row>
    <row r="29" spans="2:7" x14ac:dyDescent="0.55000000000000004">
      <c r="F29" s="2">
        <v>70</v>
      </c>
      <c r="G29" s="2">
        <v>67</v>
      </c>
    </row>
    <row r="30" spans="2:7" x14ac:dyDescent="0.55000000000000004">
      <c r="F30" s="2">
        <v>80</v>
      </c>
      <c r="G30" s="2">
        <v>77</v>
      </c>
    </row>
    <row r="31" spans="2:7" x14ac:dyDescent="0.55000000000000004">
      <c r="F31" s="2">
        <v>90</v>
      </c>
      <c r="G31" s="2">
        <v>86</v>
      </c>
    </row>
    <row r="32" spans="2:7" x14ac:dyDescent="0.55000000000000004">
      <c r="F32" s="4">
        <v>100</v>
      </c>
      <c r="G32" s="4">
        <v>96</v>
      </c>
    </row>
  </sheetData>
  <mergeCells count="5">
    <mergeCell ref="B2:D2"/>
    <mergeCell ref="F2:G2"/>
    <mergeCell ref="F8:G8"/>
    <mergeCell ref="B15:D15"/>
    <mergeCell ref="F21:G21"/>
  </mergeCells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3BAC-DF67-4C17-88FB-619D516E3C51}">
  <dimension ref="B2:F14"/>
  <sheetViews>
    <sheetView workbookViewId="0">
      <selection activeCell="J6" sqref="J6"/>
    </sheetView>
  </sheetViews>
  <sheetFormatPr defaultRowHeight="18" x14ac:dyDescent="0.55000000000000004"/>
  <cols>
    <col min="1" max="1" width="8.6640625" style="9"/>
    <col min="2" max="2" width="25.58203125" style="9" customWidth="1"/>
    <col min="3" max="3" width="17.1640625" style="9" customWidth="1"/>
    <col min="4" max="5" width="8.6640625" style="9"/>
    <col min="6" max="6" width="38.58203125" style="9" customWidth="1"/>
    <col min="7" max="16384" width="8.6640625" style="9"/>
  </cols>
  <sheetData>
    <row r="2" spans="2:6" x14ac:dyDescent="0.55000000000000004">
      <c r="B2" s="12" t="s">
        <v>23</v>
      </c>
      <c r="C2" s="12"/>
      <c r="D2" s="12"/>
      <c r="E2" s="12"/>
      <c r="F2" s="12"/>
    </row>
    <row r="3" spans="2:6" x14ac:dyDescent="0.55000000000000004">
      <c r="B3" s="10" t="s">
        <v>24</v>
      </c>
      <c r="C3" s="10" t="s">
        <v>25</v>
      </c>
      <c r="D3" s="10" t="s">
        <v>26</v>
      </c>
      <c r="E3" s="10" t="s">
        <v>27</v>
      </c>
      <c r="F3" s="10" t="s">
        <v>28</v>
      </c>
    </row>
    <row r="4" spans="2:6" x14ac:dyDescent="0.55000000000000004">
      <c r="B4" s="9" t="s">
        <v>29</v>
      </c>
      <c r="D4" s="9">
        <v>3</v>
      </c>
      <c r="E4" s="9" t="s">
        <v>45</v>
      </c>
      <c r="F4" s="11" t="s">
        <v>47</v>
      </c>
    </row>
    <row r="5" spans="2:6" x14ac:dyDescent="0.55000000000000004">
      <c r="B5" s="9" t="s">
        <v>30</v>
      </c>
      <c r="D5" s="9">
        <v>1</v>
      </c>
      <c r="E5" s="9" t="s">
        <v>44</v>
      </c>
      <c r="F5" s="9" t="s">
        <v>48</v>
      </c>
    </row>
    <row r="6" spans="2:6" x14ac:dyDescent="0.55000000000000004">
      <c r="B6" s="9" t="s">
        <v>31</v>
      </c>
      <c r="C6" s="9" t="s">
        <v>43</v>
      </c>
      <c r="D6" s="9">
        <v>1</v>
      </c>
      <c r="E6" s="9" t="s">
        <v>44</v>
      </c>
      <c r="F6" s="9" t="s">
        <v>48</v>
      </c>
    </row>
    <row r="7" spans="2:6" x14ac:dyDescent="0.55000000000000004">
      <c r="B7" s="9" t="s">
        <v>32</v>
      </c>
      <c r="D7" s="9">
        <v>1</v>
      </c>
      <c r="E7" s="9" t="s">
        <v>44</v>
      </c>
      <c r="F7" s="9" t="s">
        <v>48</v>
      </c>
    </row>
    <row r="8" spans="2:6" x14ac:dyDescent="0.55000000000000004">
      <c r="B8" s="9" t="s">
        <v>33</v>
      </c>
      <c r="D8" s="9">
        <v>2</v>
      </c>
      <c r="E8" s="9" t="s">
        <v>44</v>
      </c>
      <c r="F8" s="9" t="s">
        <v>48</v>
      </c>
    </row>
    <row r="9" spans="2:6" x14ac:dyDescent="0.55000000000000004">
      <c r="B9" s="9" t="s">
        <v>34</v>
      </c>
      <c r="C9" s="9" t="s">
        <v>46</v>
      </c>
      <c r="D9" s="9">
        <v>1</v>
      </c>
      <c r="E9" s="9" t="s">
        <v>44</v>
      </c>
      <c r="F9" s="9" t="s">
        <v>48</v>
      </c>
    </row>
    <row r="10" spans="2:6" x14ac:dyDescent="0.55000000000000004">
      <c r="B10" s="9" t="s">
        <v>35</v>
      </c>
      <c r="D10" s="9">
        <v>2</v>
      </c>
      <c r="E10" s="9" t="s">
        <v>45</v>
      </c>
    </row>
    <row r="11" spans="2:6" x14ac:dyDescent="0.55000000000000004">
      <c r="B11" s="9" t="s">
        <v>36</v>
      </c>
      <c r="D11" s="9">
        <v>2</v>
      </c>
      <c r="E11" s="9" t="s">
        <v>45</v>
      </c>
    </row>
    <row r="12" spans="2:6" x14ac:dyDescent="0.55000000000000004">
      <c r="B12" s="9" t="s">
        <v>37</v>
      </c>
      <c r="C12" s="9" t="s">
        <v>42</v>
      </c>
      <c r="D12" s="9">
        <v>1</v>
      </c>
      <c r="E12" s="9" t="s">
        <v>45</v>
      </c>
    </row>
    <row r="13" spans="2:6" x14ac:dyDescent="0.55000000000000004">
      <c r="B13" s="9" t="s">
        <v>38</v>
      </c>
      <c r="C13" s="9" t="s">
        <v>41</v>
      </c>
      <c r="D13" s="9">
        <v>1</v>
      </c>
      <c r="E13" s="9" t="s">
        <v>44</v>
      </c>
      <c r="F13" s="9" t="s">
        <v>48</v>
      </c>
    </row>
    <row r="14" spans="2:6" x14ac:dyDescent="0.55000000000000004">
      <c r="B14" s="8" t="s">
        <v>39</v>
      </c>
      <c r="C14" s="8" t="s">
        <v>40</v>
      </c>
      <c r="D14" s="8">
        <v>1</v>
      </c>
      <c r="E14" s="8" t="s">
        <v>44</v>
      </c>
      <c r="F14" s="8" t="s">
        <v>48</v>
      </c>
    </row>
  </sheetData>
  <mergeCells count="1">
    <mergeCell ref="B2:F2"/>
  </mergeCells>
  <phoneticPr fontId="2"/>
  <hyperlinks>
    <hyperlink ref="F4" r:id="rId1" xr:uid="{01866009-211E-45D4-BEBD-41C9FB2738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1st</vt:lpstr>
      <vt:lpstr>3rd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S242640163</dc:creator>
  <cp:lastModifiedBy>S242640163</cp:lastModifiedBy>
  <dcterms:created xsi:type="dcterms:W3CDTF">2026-04-17T12:22:02Z</dcterms:created>
  <dcterms:modified xsi:type="dcterms:W3CDTF">2026-04-19T10:35:44Z</dcterms:modified>
</cp:coreProperties>
</file>