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mashita\Desktop\"/>
    </mc:Choice>
  </mc:AlternateContent>
  <xr:revisionPtr revIDLastSave="0" documentId="13_ncr:1_{08BB85CB-2E7E-4E1A-A439-3C916D47831B}" xr6:coauthVersionLast="47" xr6:coauthVersionMax="47" xr10:uidLastSave="{00000000-0000-0000-0000-000000000000}"/>
  <bookViews>
    <workbookView xWindow="-110" yWindow="-110" windowWidth="22780" windowHeight="14540" xr2:uid="{D7E328D4-FD25-4938-8122-60FB433CDB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/>
  <c r="D21" i="1"/>
  <c r="D17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<sst xmlns="http://schemas.openxmlformats.org/spreadsheetml/2006/main" count="22" uniqueCount="21">
  <si>
    <t>公称値</t>
    <rPh sb="0" eb="3">
      <t>コウショウチ</t>
    </rPh>
    <phoneticPr fontId="2"/>
  </si>
  <si>
    <t>測定値</t>
    <rPh sb="0" eb="3">
      <t>ソクテイチ</t>
    </rPh>
    <phoneticPr fontId="2"/>
  </si>
  <si>
    <t>誤差</t>
    <rPh sb="0" eb="2">
      <t>ゴサ</t>
    </rPh>
    <phoneticPr fontId="2"/>
  </si>
  <si>
    <t>照度環境</t>
    <rPh sb="0" eb="4">
      <t>ショウドカンキョウ</t>
    </rPh>
    <phoneticPr fontId="2"/>
  </si>
  <si>
    <t>表2</t>
    <rPh sb="0" eb="1">
      <t>ヒョウ</t>
    </rPh>
    <phoneticPr fontId="2"/>
  </si>
  <si>
    <t>日中の窓際</t>
    <rPh sb="0" eb="2">
      <t>ニッチュウ</t>
    </rPh>
    <rPh sb="3" eb="5">
      <t>マドギワ</t>
    </rPh>
    <phoneticPr fontId="2"/>
  </si>
  <si>
    <t>夜間室内</t>
    <rPh sb="0" eb="4">
      <t>ヤカンシツナイ</t>
    </rPh>
    <phoneticPr fontId="2"/>
  </si>
  <si>
    <t>暗黒</t>
    <rPh sb="0" eb="2">
      <t>アンコク</t>
    </rPh>
    <phoneticPr fontId="2"/>
  </si>
  <si>
    <t>表3</t>
    <rPh sb="0" eb="1">
      <t>ヒョウ</t>
    </rPh>
    <phoneticPr fontId="2"/>
  </si>
  <si>
    <t>距離</t>
    <rPh sb="0" eb="2">
      <t>キョリ</t>
    </rPh>
    <phoneticPr fontId="2"/>
  </si>
  <si>
    <t>抵抗値</t>
    <rPh sb="0" eb="3">
      <t>テイコウチ</t>
    </rPh>
    <phoneticPr fontId="2"/>
  </si>
  <si>
    <t>色</t>
    <rPh sb="0" eb="1">
      <t>イロ</t>
    </rPh>
    <phoneticPr fontId="2"/>
  </si>
  <si>
    <t>順方向電圧</t>
    <rPh sb="0" eb="5">
      <t>ジュンホウコウデンアツ</t>
    </rPh>
    <phoneticPr fontId="2"/>
  </si>
  <si>
    <t>順方向電流</t>
    <rPh sb="0" eb="5">
      <t>ジュンホウコウデンリュウ</t>
    </rPh>
    <phoneticPr fontId="2"/>
  </si>
  <si>
    <t>赤</t>
    <rPh sb="0" eb="1">
      <t>アカ</t>
    </rPh>
    <phoneticPr fontId="2"/>
  </si>
  <si>
    <t>黄</t>
    <rPh sb="0" eb="1">
      <t>キ</t>
    </rPh>
    <phoneticPr fontId="2"/>
  </si>
  <si>
    <t>緑</t>
    <rPh sb="0" eb="1">
      <t>ミドリ</t>
    </rPh>
    <phoneticPr fontId="2"/>
  </si>
  <si>
    <t>青</t>
    <rPh sb="0" eb="1">
      <t>アオ</t>
    </rPh>
    <phoneticPr fontId="2"/>
  </si>
  <si>
    <t>白</t>
    <rPh sb="0" eb="1">
      <t>シロ</t>
    </rPh>
    <phoneticPr fontId="2"/>
  </si>
  <si>
    <t>表1 固定抵抗の測定結果</t>
    <rPh sb="0" eb="1">
      <t>ヒョウ</t>
    </rPh>
    <rPh sb="3" eb="5">
      <t>コテイ</t>
    </rPh>
    <rPh sb="5" eb="7">
      <t>テイコウ</t>
    </rPh>
    <rPh sb="8" eb="12">
      <t>ソクテイケッカ</t>
    </rPh>
    <phoneticPr fontId="2"/>
  </si>
  <si>
    <t>表4 各LEDの順方向電圧および順方向電流</t>
    <rPh sb="0" eb="1">
      <t>ヒョウ</t>
    </rPh>
    <rPh sb="3" eb="4">
      <t>カク</t>
    </rPh>
    <rPh sb="8" eb="11">
      <t>ジュンホウコウ</t>
    </rPh>
    <rPh sb="11" eb="13">
      <t>デンアツ</t>
    </rPh>
    <rPh sb="16" eb="21">
      <t>ジュンホウコウデンリュウ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</si>
</sst>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"/>
    <numFmt numFmtId="180" formatCode="0.0%"/>
  </numFmts>
  <fonts count="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0" xfId="1" applyNumberFormat="1" applyFont="1" applyBorder="1" applyAlignment="1">
      <alignment horizontal="center" vertical="center"/>
    </xf>
    <xf numFmtId="180" fontId="0" fillId="0" borderId="2" xfId="1" applyNumberFormat="1" applyFon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7EFB-A6F4-4630-9E61-6FD08FA6A003}">
  <dimension ref="B2:G21"/>
  <sheetViews>
    <sheetView tabSelected="1" workbookViewId="0">
      <selection activeCell="H8" sqref="H8"/>
    </sheetView>
  </sheetViews>
  <sheetFormatPr defaultRowHeight="18" x14ac:dyDescent="0.55000000000000004"/>
  <cols>
    <col min="1" max="2" width="8.6640625" style="3"/>
    <col min="3" max="3" width="13" style="3" customWidth="1"/>
    <col min="4" max="4" width="14.6640625" style="3" customWidth="1"/>
    <col min="5" max="5" width="8.6640625" style="3"/>
    <col min="6" max="6" width="13.6640625" style="3" customWidth="1"/>
    <col min="7" max="7" width="13.75" style="3" customWidth="1"/>
    <col min="8" max="16384" width="8.6640625" style="3"/>
  </cols>
  <sheetData>
    <row r="2" spans="2:7" x14ac:dyDescent="0.55000000000000004">
      <c r="B2" s="5" t="s">
        <v>19</v>
      </c>
      <c r="C2" s="5"/>
      <c r="D2" s="5"/>
      <c r="F2" s="2" t="s">
        <v>4</v>
      </c>
      <c r="G2" s="2"/>
    </row>
    <row r="3" spans="2:7" x14ac:dyDescent="0.55000000000000004">
      <c r="B3" s="1" t="s">
        <v>0</v>
      </c>
      <c r="C3" s="1" t="s">
        <v>1</v>
      </c>
      <c r="D3" s="1" t="s">
        <v>2</v>
      </c>
      <c r="F3" s="3" t="s">
        <v>3</v>
      </c>
      <c r="G3" s="3" t="s">
        <v>1</v>
      </c>
    </row>
    <row r="4" spans="2:7" x14ac:dyDescent="0.55000000000000004">
      <c r="B4" s="3">
        <v>10</v>
      </c>
      <c r="C4" s="3">
        <v>10.4</v>
      </c>
      <c r="D4" s="7">
        <f>(C4-B4)/B4</f>
        <v>4.0000000000000036E-2</v>
      </c>
      <c r="F4" s="3" t="s">
        <v>5</v>
      </c>
    </row>
    <row r="5" spans="2:7" x14ac:dyDescent="0.55000000000000004">
      <c r="B5" s="3">
        <v>100</v>
      </c>
      <c r="C5" s="3">
        <v>99.7</v>
      </c>
      <c r="D5" s="7">
        <f t="shared" ref="D5:D13" si="0">(C5-B5)/B5</f>
        <v>-2.9999999999999714E-3</v>
      </c>
      <c r="F5" s="3" t="s">
        <v>6</v>
      </c>
    </row>
    <row r="6" spans="2:7" x14ac:dyDescent="0.55000000000000004">
      <c r="B6" s="3">
        <v>220</v>
      </c>
      <c r="C6" s="3">
        <v>220</v>
      </c>
      <c r="D6" s="7">
        <f t="shared" si="0"/>
        <v>0</v>
      </c>
      <c r="F6" s="3" t="s">
        <v>7</v>
      </c>
    </row>
    <row r="7" spans="2:7" x14ac:dyDescent="0.55000000000000004">
      <c r="B7" s="3">
        <v>330</v>
      </c>
      <c r="C7" s="3">
        <v>325</v>
      </c>
      <c r="D7" s="7">
        <f t="shared" si="0"/>
        <v>-1.5151515151515152E-2</v>
      </c>
    </row>
    <row r="8" spans="2:7" x14ac:dyDescent="0.55000000000000004">
      <c r="B8" s="3">
        <v>1000</v>
      </c>
      <c r="C8" s="3">
        <v>972</v>
      </c>
      <c r="D8" s="7">
        <f t="shared" si="0"/>
        <v>-2.8000000000000001E-2</v>
      </c>
      <c r="F8" s="2" t="s">
        <v>8</v>
      </c>
      <c r="G8" s="2"/>
    </row>
    <row r="9" spans="2:7" x14ac:dyDescent="0.55000000000000004">
      <c r="B9" s="3">
        <v>2000</v>
      </c>
      <c r="C9" s="3">
        <v>1960</v>
      </c>
      <c r="D9" s="7">
        <f t="shared" si="0"/>
        <v>-0.02</v>
      </c>
      <c r="F9" s="3" t="s">
        <v>9</v>
      </c>
      <c r="G9" s="3" t="s">
        <v>10</v>
      </c>
    </row>
    <row r="10" spans="2:7" x14ac:dyDescent="0.55000000000000004">
      <c r="B10" s="3">
        <v>5100</v>
      </c>
      <c r="C10" s="3">
        <v>5120</v>
      </c>
      <c r="D10" s="7">
        <f t="shared" si="0"/>
        <v>3.9215686274509803E-3</v>
      </c>
      <c r="F10" s="4">
        <v>10</v>
      </c>
    </row>
    <row r="11" spans="2:7" x14ac:dyDescent="0.55000000000000004">
      <c r="B11" s="3">
        <v>10000</v>
      </c>
      <c r="C11" s="3">
        <v>10050</v>
      </c>
      <c r="D11" s="7">
        <f t="shared" si="0"/>
        <v>5.0000000000000001E-3</v>
      </c>
      <c r="F11" s="4">
        <v>20</v>
      </c>
    </row>
    <row r="12" spans="2:7" x14ac:dyDescent="0.55000000000000004">
      <c r="B12" s="3">
        <v>100000</v>
      </c>
      <c r="C12" s="3">
        <v>100500</v>
      </c>
      <c r="D12" s="7">
        <f t="shared" si="0"/>
        <v>5.0000000000000001E-3</v>
      </c>
      <c r="F12" s="4">
        <v>30</v>
      </c>
    </row>
    <row r="13" spans="2:7" x14ac:dyDescent="0.55000000000000004">
      <c r="B13" s="6">
        <v>1000000</v>
      </c>
      <c r="C13" s="6">
        <v>996000</v>
      </c>
      <c r="D13" s="8">
        <f t="shared" si="0"/>
        <v>-4.0000000000000001E-3</v>
      </c>
      <c r="F13" s="4">
        <v>40</v>
      </c>
    </row>
    <row r="14" spans="2:7" x14ac:dyDescent="0.55000000000000004">
      <c r="F14" s="4">
        <v>50</v>
      </c>
    </row>
    <row r="15" spans="2:7" x14ac:dyDescent="0.55000000000000004">
      <c r="B15" s="5" t="s">
        <v>20</v>
      </c>
      <c r="C15" s="5"/>
      <c r="D15" s="5"/>
      <c r="F15" s="4">
        <v>60</v>
      </c>
    </row>
    <row r="16" spans="2:7" x14ac:dyDescent="0.55000000000000004">
      <c r="B16" s="6" t="s">
        <v>11</v>
      </c>
      <c r="C16" s="6" t="s">
        <v>12</v>
      </c>
      <c r="D16" s="6" t="s">
        <v>13</v>
      </c>
      <c r="F16" s="4">
        <v>70</v>
      </c>
    </row>
    <row r="17" spans="2:6" x14ac:dyDescent="0.55000000000000004">
      <c r="B17" s="3" t="s">
        <v>14</v>
      </c>
      <c r="C17" s="3">
        <v>1.98</v>
      </c>
      <c r="D17" s="4">
        <f>((5-C17)/220)*1000</f>
        <v>13.727272727272727</v>
      </c>
      <c r="F17" s="4">
        <v>80</v>
      </c>
    </row>
    <row r="18" spans="2:6" x14ac:dyDescent="0.55000000000000004">
      <c r="B18" s="3" t="s">
        <v>15</v>
      </c>
      <c r="C18" s="3">
        <v>2.0499999999999998</v>
      </c>
      <c r="D18" s="4">
        <f t="shared" ref="D18:D21" si="1">((5-C18)/220)*1000</f>
        <v>13.40909090909091</v>
      </c>
      <c r="F18" s="4">
        <v>90</v>
      </c>
    </row>
    <row r="19" spans="2:6" x14ac:dyDescent="0.55000000000000004">
      <c r="B19" s="3" t="s">
        <v>16</v>
      </c>
      <c r="C19" s="3">
        <v>2.74</v>
      </c>
      <c r="D19" s="4">
        <f t="shared" si="1"/>
        <v>10.272727272727272</v>
      </c>
      <c r="F19" s="4">
        <v>100</v>
      </c>
    </row>
    <row r="20" spans="2:6" x14ac:dyDescent="0.55000000000000004">
      <c r="B20" s="3" t="s">
        <v>17</v>
      </c>
      <c r="C20" s="3">
        <v>2.74</v>
      </c>
      <c r="D20" s="4">
        <f t="shared" si="1"/>
        <v>10.272727272727272</v>
      </c>
    </row>
    <row r="21" spans="2:6" x14ac:dyDescent="0.55000000000000004">
      <c r="B21" s="6" t="s">
        <v>18</v>
      </c>
      <c r="C21" s="6">
        <v>2.78</v>
      </c>
      <c r="D21" s="9">
        <f t="shared" si="1"/>
        <v>10.090909090909092</v>
      </c>
    </row>
  </sheetData>
  <mergeCells count="4">
    <mergeCell ref="B2:D2"/>
    <mergeCell ref="F2:G2"/>
    <mergeCell ref="F8:G8"/>
    <mergeCell ref="B15:D15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S242640163</dc:creator>
  <cp:lastModifiedBy>S242640163</cp:lastModifiedBy>
  <dcterms:created xsi:type="dcterms:W3CDTF">2026-04-17T12:22:02Z</dcterms:created>
  <dcterms:modified xsi:type="dcterms:W3CDTF">2026-04-18T03:07:31Z</dcterms:modified>
</cp:coreProperties>
</file>